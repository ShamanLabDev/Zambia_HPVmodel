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agalanti/Library/CloudStorage/Box-Box/Marta Galanti/HPV copy/paper/"/>
    </mc:Choice>
  </mc:AlternateContent>
  <xr:revisionPtr revIDLastSave="0" documentId="8_{BDE22EE6-7628-4443-AD60-FC4E28F31743}" xr6:coauthVersionLast="47" xr6:coauthVersionMax="47" xr10:uidLastSave="{00000000-0000-0000-0000-000000000000}"/>
  <bookViews>
    <workbookView xWindow="1960" yWindow="1100" windowWidth="26840" windowHeight="15620" xr2:uid="{A23A4396-59CB-9B44-936F-FFC4D496213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<sst xmlns="http://schemas.openxmlformats.org/spreadsheetml/2006/main" count="6" uniqueCount="6">
  <si>
    <t>year</t>
  </si>
  <si>
    <t>deaths</t>
  </si>
  <si>
    <t>plhiv</t>
  </si>
  <si>
    <t>aids related mortality women age 15+</t>
  </si>
  <si>
    <t>mortality all cause hiv+, all ages and gender</t>
  </si>
  <si>
    <t>RR HPV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</si>
</sst>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3" borderId="2" xfId="0" applyFont="1" applyFill="1" applyBorder="1"/>
    <xf numFmtId="0" fontId="2" fillId="0" borderId="3" xfId="0" applyFont="1" applyBorder="1"/>
    <xf numFmtId="0" fontId="3" fillId="0" borderId="2" xfId="0" applyFont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A772-8F2B-9F47-97D4-285FF3723660}">
  <dimension ref="A1:E36"/>
  <sheetViews>
    <sheetView tabSelected="1" workbookViewId="0">
      <selection activeCell="J51" sqref="J17:J51"/>
    </sheetView>
  </sheetViews>
  <sheetFormatPr baseColWidth="10" defaultRowHeight="16" x14ac:dyDescent="0.2"/>
  <cols>
    <col min="4" max="4" width="33.83203125" customWidth="1"/>
    <col min="5" max="5" width="53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2">
      <c r="A2" s="2">
        <v>1990</v>
      </c>
      <c r="B2" s="3">
        <v>4835.7391699999998</v>
      </c>
      <c r="C2" s="2">
        <v>197089.24100000001</v>
      </c>
      <c r="D2">
        <f>B2/C2</f>
        <v>2.4535784629664284E-2</v>
      </c>
      <c r="E2">
        <v>5.5317008006018339E-2</v>
      </c>
    </row>
    <row r="3" spans="1:5" x14ac:dyDescent="0.2">
      <c r="A3" s="4">
        <v>1991</v>
      </c>
      <c r="B3" s="5">
        <v>6406.3151200000002</v>
      </c>
      <c r="C3" s="4">
        <v>233720.85699999999</v>
      </c>
      <c r="D3">
        <f t="shared" ref="D3:D36" si="0">B3/C3</f>
        <v>2.7410113082034438E-2</v>
      </c>
      <c r="E3">
        <v>5.7909179600470005E-2</v>
      </c>
    </row>
    <row r="4" spans="1:5" x14ac:dyDescent="0.2">
      <c r="A4" s="6">
        <v>1992</v>
      </c>
      <c r="B4" s="3">
        <v>8202.7790399999994</v>
      </c>
      <c r="C4" s="6">
        <v>267489.79700000002</v>
      </c>
      <c r="D4">
        <f t="shared" si="0"/>
        <v>3.0665764197353663E-2</v>
      </c>
      <c r="E4">
        <v>6.0555419099549319E-2</v>
      </c>
    </row>
    <row r="5" spans="1:5" x14ac:dyDescent="0.2">
      <c r="A5" s="4">
        <v>1993</v>
      </c>
      <c r="B5" s="5">
        <v>10179.0506</v>
      </c>
      <c r="C5" s="4">
        <v>296906.43699999998</v>
      </c>
      <c r="D5">
        <f t="shared" si="0"/>
        <v>3.428369793141265E-2</v>
      </c>
      <c r="E5">
        <v>6.324373044058984E-2</v>
      </c>
    </row>
    <row r="6" spans="1:5" x14ac:dyDescent="0.2">
      <c r="A6" s="6">
        <v>1994</v>
      </c>
      <c r="B6" s="3">
        <v>12279.26548</v>
      </c>
      <c r="C6" s="6">
        <v>322328.712</v>
      </c>
      <c r="D6">
        <f t="shared" si="0"/>
        <v>3.8095475279906185E-2</v>
      </c>
      <c r="E6">
        <v>6.6089309957319473E-2</v>
      </c>
    </row>
    <row r="7" spans="1:5" x14ac:dyDescent="0.2">
      <c r="A7" s="4">
        <v>1995</v>
      </c>
      <c r="B7" s="5">
        <v>14455.34642</v>
      </c>
      <c r="C7" s="4">
        <v>343790.908</v>
      </c>
      <c r="D7">
        <f t="shared" si="0"/>
        <v>4.2046913061470494E-2</v>
      </c>
      <c r="E7">
        <v>6.8969610288876187E-2</v>
      </c>
    </row>
    <row r="8" spans="1:5" x14ac:dyDescent="0.2">
      <c r="A8" s="6">
        <v>1996</v>
      </c>
      <c r="B8" s="3">
        <v>16642.039410000001</v>
      </c>
      <c r="C8" s="6">
        <v>361776.973</v>
      </c>
      <c r="D8">
        <f t="shared" si="0"/>
        <v>4.600082551412138E-2</v>
      </c>
      <c r="E8">
        <v>7.173489249470591E-2</v>
      </c>
    </row>
    <row r="9" spans="1:5" x14ac:dyDescent="0.2">
      <c r="A9" s="4">
        <v>1997</v>
      </c>
      <c r="B9" s="5">
        <v>18796.280849999999</v>
      </c>
      <c r="C9" s="4">
        <v>376259.75400000002</v>
      </c>
      <c r="D9">
        <f t="shared" si="0"/>
        <v>4.9955597563060117E-2</v>
      </c>
      <c r="E9">
        <v>7.4431228526049609E-2</v>
      </c>
    </row>
    <row r="10" spans="1:5" x14ac:dyDescent="0.2">
      <c r="A10" s="6">
        <v>1998</v>
      </c>
      <c r="B10" s="3">
        <v>20879.30012</v>
      </c>
      <c r="C10" s="6">
        <v>387267.22399999999</v>
      </c>
      <c r="D10">
        <f t="shared" si="0"/>
        <v>5.3914451897948378E-2</v>
      </c>
      <c r="E10">
        <v>7.7255781752497713E-2</v>
      </c>
    </row>
    <row r="11" spans="1:5" x14ac:dyDescent="0.2">
      <c r="A11" s="4">
        <v>1999</v>
      </c>
      <c r="B11" s="5">
        <v>22803.794979999999</v>
      </c>
      <c r="C11" s="4">
        <v>395983.81599999999</v>
      </c>
      <c r="D11">
        <f t="shared" si="0"/>
        <v>5.7587694392035454E-2</v>
      </c>
      <c r="E11">
        <v>7.9605882861784549E-2</v>
      </c>
    </row>
    <row r="12" spans="1:5" x14ac:dyDescent="0.2">
      <c r="A12" s="6">
        <v>2000</v>
      </c>
      <c r="B12" s="3">
        <v>24600.45853</v>
      </c>
      <c r="C12" s="6">
        <v>403023.92099999997</v>
      </c>
      <c r="D12">
        <f t="shared" si="0"/>
        <v>6.1039698261483595E-2</v>
      </c>
      <c r="E12">
        <v>8.1449798962131267E-2</v>
      </c>
    </row>
    <row r="13" spans="1:5" x14ac:dyDescent="0.2">
      <c r="A13" s="4">
        <v>2001</v>
      </c>
      <c r="B13" s="5">
        <v>26252.255399999998</v>
      </c>
      <c r="C13" s="4">
        <v>409504.70799999998</v>
      </c>
      <c r="D13">
        <f t="shared" si="0"/>
        <v>6.410733475620993E-2</v>
      </c>
      <c r="E13">
        <v>8.2821377822792863E-2</v>
      </c>
    </row>
    <row r="14" spans="1:5" x14ac:dyDescent="0.2">
      <c r="A14" s="6">
        <v>2002</v>
      </c>
      <c r="B14" s="3">
        <v>27787.030709999999</v>
      </c>
      <c r="C14" s="6">
        <v>413399.35700000002</v>
      </c>
      <c r="D14">
        <f t="shared" si="0"/>
        <v>6.7215950483444989E-2</v>
      </c>
      <c r="E14">
        <v>8.4505467969509723E-2</v>
      </c>
    </row>
    <row r="15" spans="1:5" x14ac:dyDescent="0.2">
      <c r="A15" s="4">
        <v>2003</v>
      </c>
      <c r="B15" s="5">
        <v>27464.922620000001</v>
      </c>
      <c r="C15" s="4">
        <v>418480.39299999998</v>
      </c>
      <c r="D15">
        <f t="shared" si="0"/>
        <v>6.5630130059641772E-2</v>
      </c>
      <c r="E15">
        <v>8.2110266796411355E-2</v>
      </c>
    </row>
    <row r="16" spans="1:5" x14ac:dyDescent="0.2">
      <c r="A16" s="6">
        <v>2004</v>
      </c>
      <c r="B16" s="3">
        <v>25882.775440000001</v>
      </c>
      <c r="C16" s="6">
        <v>423949.18</v>
      </c>
      <c r="D16">
        <f t="shared" si="0"/>
        <v>6.1051599250646037E-2</v>
      </c>
      <c r="E16">
        <v>7.707210526022773E-2</v>
      </c>
    </row>
    <row r="17" spans="1:5" x14ac:dyDescent="0.2">
      <c r="A17" s="4">
        <v>2005</v>
      </c>
      <c r="B17" s="5">
        <v>24283.206129999999</v>
      </c>
      <c r="C17" s="4">
        <v>432119.01799999998</v>
      </c>
      <c r="D17">
        <f t="shared" si="0"/>
        <v>5.6195643141075544E-2</v>
      </c>
      <c r="E17">
        <v>7.1684162040934737E-2</v>
      </c>
    </row>
    <row r="18" spans="1:5" x14ac:dyDescent="0.2">
      <c r="A18" s="6">
        <v>2006</v>
      </c>
      <c r="B18" s="3">
        <v>22201.16704</v>
      </c>
      <c r="C18" s="6">
        <v>441968.40700000001</v>
      </c>
      <c r="D18">
        <f t="shared" si="0"/>
        <v>5.0232475191377197E-2</v>
      </c>
      <c r="E18">
        <v>6.5280138114177544E-2</v>
      </c>
    </row>
    <row r="19" spans="1:5" x14ac:dyDescent="0.2">
      <c r="A19" s="4">
        <v>2007</v>
      </c>
      <c r="B19" s="5">
        <v>17627.456040000001</v>
      </c>
      <c r="C19" s="4">
        <v>456296.70799999998</v>
      </c>
      <c r="D19">
        <f t="shared" si="0"/>
        <v>3.8631565231454619E-2</v>
      </c>
      <c r="E19">
        <v>5.4753782241162736E-2</v>
      </c>
    </row>
    <row r="20" spans="1:5" x14ac:dyDescent="0.2">
      <c r="A20" s="6">
        <v>2008</v>
      </c>
      <c r="B20" s="3">
        <v>12531.69889</v>
      </c>
      <c r="C20" s="6">
        <v>473629.625</v>
      </c>
      <c r="D20">
        <f t="shared" si="0"/>
        <v>2.6458857783653207E-2</v>
      </c>
      <c r="E20">
        <v>4.3790987490301234E-2</v>
      </c>
    </row>
    <row r="21" spans="1:5" x14ac:dyDescent="0.2">
      <c r="A21" s="4">
        <v>2009</v>
      </c>
      <c r="B21" s="5">
        <v>10334.226650000001</v>
      </c>
      <c r="C21" s="4">
        <v>494291.67300000001</v>
      </c>
      <c r="D21">
        <f t="shared" si="0"/>
        <v>2.0907142916809767E-2</v>
      </c>
      <c r="E21">
        <v>3.648248017632344E-2</v>
      </c>
    </row>
    <row r="22" spans="1:5" x14ac:dyDescent="0.2">
      <c r="A22" s="6">
        <v>2010</v>
      </c>
      <c r="B22" s="3">
        <v>10011.254639999999</v>
      </c>
      <c r="C22" s="6">
        <v>516735.40600000002</v>
      </c>
      <c r="D22">
        <f t="shared" si="0"/>
        <v>1.9374044286022851E-2</v>
      </c>
      <c r="E22">
        <v>3.272956760410016E-2</v>
      </c>
    </row>
    <row r="23" spans="1:5" x14ac:dyDescent="0.2">
      <c r="A23" s="4">
        <v>2011</v>
      </c>
      <c r="B23" s="5">
        <v>9646.2386399999996</v>
      </c>
      <c r="C23" s="4">
        <v>540941.94799999997</v>
      </c>
      <c r="D23">
        <f t="shared" si="0"/>
        <v>1.7832299150887816E-2</v>
      </c>
      <c r="E23">
        <v>3.054957219268218E-2</v>
      </c>
    </row>
    <row r="24" spans="1:5" x14ac:dyDescent="0.2">
      <c r="A24" s="6">
        <v>2012</v>
      </c>
      <c r="B24" s="3">
        <v>8906.8185099999992</v>
      </c>
      <c r="C24" s="6">
        <v>567821.24300000002</v>
      </c>
      <c r="D24">
        <f t="shared" si="0"/>
        <v>1.5685955077943427E-2</v>
      </c>
      <c r="E24">
        <v>2.7907286186873236E-2</v>
      </c>
    </row>
    <row r="25" spans="1:5" x14ac:dyDescent="0.2">
      <c r="A25" s="4">
        <v>2013</v>
      </c>
      <c r="B25" s="5">
        <v>9112.1597399999991</v>
      </c>
      <c r="C25" s="4">
        <v>597713.97100000002</v>
      </c>
      <c r="D25">
        <f t="shared" si="0"/>
        <v>1.5245017152192347E-2</v>
      </c>
      <c r="E25">
        <v>2.5785230932471894E-2</v>
      </c>
    </row>
    <row r="26" spans="1:5" x14ac:dyDescent="0.2">
      <c r="A26" s="6">
        <v>2014</v>
      </c>
      <c r="B26" s="3">
        <v>9686.5107200000002</v>
      </c>
      <c r="C26" s="6">
        <v>628301.87699999998</v>
      </c>
      <c r="D26">
        <f t="shared" si="0"/>
        <v>1.5416969254096309E-2</v>
      </c>
      <c r="E26">
        <v>2.4283001358295968E-2</v>
      </c>
    </row>
    <row r="27" spans="1:5" x14ac:dyDescent="0.2">
      <c r="A27" s="4">
        <v>2015</v>
      </c>
      <c r="B27" s="5">
        <v>9805.4238700000005</v>
      </c>
      <c r="C27" s="4">
        <v>659939.14099999995</v>
      </c>
      <c r="D27">
        <f t="shared" si="0"/>
        <v>1.485807290524082E-2</v>
      </c>
      <c r="E27">
        <v>2.3558895873163517E-2</v>
      </c>
    </row>
    <row r="28" spans="1:5" x14ac:dyDescent="0.2">
      <c r="A28" s="6">
        <v>2016</v>
      </c>
      <c r="B28" s="3">
        <v>9242.0297399999999</v>
      </c>
      <c r="C28" s="6">
        <v>693296.69299999997</v>
      </c>
      <c r="D28">
        <f t="shared" si="0"/>
        <v>1.3330555061511018E-2</v>
      </c>
      <c r="E28">
        <v>2.1815742801270837E-2</v>
      </c>
    </row>
    <row r="29" spans="1:5" x14ac:dyDescent="0.2">
      <c r="A29" s="4">
        <v>2017</v>
      </c>
      <c r="B29" s="5">
        <v>9342.4885200000008</v>
      </c>
      <c r="C29" s="4">
        <v>727741.17599999998</v>
      </c>
      <c r="D29">
        <f t="shared" si="0"/>
        <v>1.2837652764614217E-2</v>
      </c>
      <c r="E29">
        <v>2.0733981027636812E-2</v>
      </c>
    </row>
    <row r="30" spans="1:5" x14ac:dyDescent="0.2">
      <c r="A30" s="6">
        <v>2018</v>
      </c>
      <c r="B30" s="3">
        <v>10276.02327</v>
      </c>
      <c r="C30" s="6">
        <v>759280.33900000004</v>
      </c>
      <c r="D30">
        <f t="shared" si="0"/>
        <v>1.3533898801507092E-2</v>
      </c>
      <c r="E30">
        <v>2.1713674400319235E-2</v>
      </c>
    </row>
    <row r="31" spans="1:5" x14ac:dyDescent="0.2">
      <c r="A31" s="4">
        <v>2019</v>
      </c>
      <c r="B31" s="5">
        <v>10540.20796</v>
      </c>
      <c r="C31" s="4">
        <v>784976.77599999995</v>
      </c>
      <c r="D31">
        <f t="shared" si="0"/>
        <v>1.3427413755741482E-2</v>
      </c>
      <c r="E31">
        <v>2.1774694390937883E-2</v>
      </c>
    </row>
    <row r="32" spans="1:5" x14ac:dyDescent="0.2">
      <c r="A32" s="6">
        <v>2020</v>
      </c>
      <c r="B32" s="3">
        <v>10447.279490000001</v>
      </c>
      <c r="C32" s="6">
        <v>803247.08900000004</v>
      </c>
      <c r="D32">
        <f t="shared" si="0"/>
        <v>1.3006308560677523E-2</v>
      </c>
      <c r="E32">
        <v>2.2049889617071265E-2</v>
      </c>
    </row>
    <row r="33" spans="1:5" x14ac:dyDescent="0.2">
      <c r="A33" s="4">
        <v>2021</v>
      </c>
      <c r="B33" s="5">
        <v>9622.8593000000001</v>
      </c>
      <c r="C33" s="4">
        <v>816863.03399999999</v>
      </c>
      <c r="D33">
        <f t="shared" si="0"/>
        <v>1.1780260459184887E-2</v>
      </c>
      <c r="E33">
        <v>2.1613854895666276E-2</v>
      </c>
    </row>
    <row r="34" spans="1:5" x14ac:dyDescent="0.2">
      <c r="A34" s="6">
        <v>2022</v>
      </c>
      <c r="B34" s="3">
        <v>9225.3954799999992</v>
      </c>
      <c r="C34" s="6">
        <v>827307.48400000005</v>
      </c>
      <c r="D34">
        <f t="shared" si="0"/>
        <v>1.1151108455341858E-2</v>
      </c>
      <c r="E34">
        <v>2.0838553417772132E-2</v>
      </c>
    </row>
    <row r="35" spans="1:5" x14ac:dyDescent="0.2">
      <c r="A35" s="4">
        <v>2023</v>
      </c>
      <c r="B35" s="5">
        <v>8749.1104400000004</v>
      </c>
      <c r="C35" s="4">
        <v>835620.16200000001</v>
      </c>
      <c r="D35">
        <f t="shared" si="0"/>
        <v>1.0470200263071203E-2</v>
      </c>
      <c r="E35">
        <v>1.9650278799690526E-2</v>
      </c>
    </row>
    <row r="36" spans="1:5" x14ac:dyDescent="0.2">
      <c r="A36" s="6">
        <v>2024</v>
      </c>
      <c r="B36" s="3">
        <v>8394.5139099999997</v>
      </c>
      <c r="C36" s="6">
        <v>843501.88899999997</v>
      </c>
      <c r="D36">
        <f t="shared" si="0"/>
        <v>9.9519799771307926E-3</v>
      </c>
      <c r="E36">
        <v>1.8709809707900805E-2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189C-35BC-BB49-88F1-FEC54A955306}">
  <dimension ref="B1:B2"/>
  <sheetViews>
    <sheetView topLeftCell="G1" workbookViewId="0">
      <selection activeCell="F11" sqref="F11"/>
    </sheetView>
  </sheetViews>
  <sheetFormatPr baseColWidth="10" defaultRowHeight="16" x14ac:dyDescent="0.2"/>
  <sheetData>
    <row r="1" spans="2:2" x14ac:dyDescent="0.2">
      <c r="B1" t="s">
        <v>5</v>
      </c>
    </row>
    <row r="2" spans="2:2" x14ac:dyDescent="0.2">
      <c r="B2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Yamana</dc:creator>
  <cp:lastModifiedBy>Galanti, Marta</cp:lastModifiedBy>
  <dcterms:created xsi:type="dcterms:W3CDTF">2026-03-27T18:47:11Z</dcterms:created>
  <dcterms:modified xsi:type="dcterms:W3CDTF">2026-04-01T15:57:23Z</dcterms:modified>
</cp:coreProperties>
</file>